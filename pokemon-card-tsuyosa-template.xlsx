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つかいかた" sheetId="1" state="visible" r:id="rId1"/>
    <sheet xmlns:r="http://schemas.openxmlformats.org/officeDocument/2006/relationships" name="設定" sheetId="2" state="visible" r:id="rId2"/>
    <sheet xmlns:r="http://schemas.openxmlformats.org/officeDocument/2006/relationships" name="カード一覧" sheetId="3" state="visible" r:id="rId3"/>
    <sheet xmlns:r="http://schemas.openxmlformats.org/officeDocument/2006/relationships" name="デッキチェッ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eiryo"/>
      <b val="1"/>
      <color rgb="001F3A5F"/>
      <sz val="16"/>
    </font>
    <font>
      <name val="Meiryo"/>
      <color rgb="00222222"/>
      <sz val="10"/>
    </font>
    <font>
      <name val="Meiryo"/>
      <color rgb="00222222"/>
      <sz val="11"/>
    </font>
    <font>
      <name val="Meiryo"/>
      <b val="1"/>
      <color rgb="001F3A5F"/>
      <sz val="12"/>
    </font>
    <font>
      <name val="Meiryo"/>
      <b val="1"/>
      <color rgb="00FFFFFF"/>
      <sz val="10"/>
    </font>
    <font>
      <name val="Meiryo"/>
      <b val="1"/>
      <color rgb="001F3A5F"/>
      <sz val="10.5"/>
    </font>
    <font>
      <name val="Meiryo"/>
      <color rgb="00222222"/>
      <sz val="10.5"/>
    </font>
    <font>
      <name val="Meiryo"/>
      <b val="1"/>
      <color rgb="00222222"/>
      <sz val="11"/>
    </font>
    <font>
      <name val="Meiryo"/>
      <color rgb="00555555"/>
      <sz val="10"/>
    </font>
    <font>
      <name val="Meiryo"/>
      <b val="1"/>
      <color rgb="00222222"/>
      <sz val="10.5"/>
    </font>
    <font>
      <name val="Meiryo"/>
      <color rgb="00555555"/>
      <sz val="9.5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5"/>
      </patternFill>
    </fill>
    <fill>
      <patternFill patternType="solid">
        <fgColor rgb="00FFF7DB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7B8794"/>
      </left>
      <right style="thin">
        <color rgb="007B8794"/>
      </right>
      <top style="thin">
        <color rgb="007B8794"/>
      </top>
      <bottom style="thin">
        <color rgb="007B879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0" fillId="3" borderId="0" pivotButton="0" quotePrefix="0" xfId="0"/>
    <xf numFmtId="0" fontId="7" fillId="0" borderId="1" pivotButton="0" quotePrefix="0" xfId="0"/>
    <xf numFmtId="0" fontId="8" fillId="4" borderId="1" applyAlignment="1" pivotButton="0" quotePrefix="0" xfId="0">
      <alignment horizontal="center"/>
    </xf>
    <xf numFmtId="0" fontId="9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/>
    </xf>
    <xf numFmtId="0" fontId="10" fillId="5" borderId="1" applyAlignment="1" pivotButton="0" quotePrefix="0" xfId="0">
      <alignment horizontal="center"/>
    </xf>
    <xf numFmtId="0" fontId="11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8C9C0"/>
          <bgColor rgb="00F8C9C0"/>
        </patternFill>
      </fill>
    </dxf>
    <dxf>
      <fill>
        <patternFill patternType="solid">
          <fgColor rgb="00FFE9A8"/>
          <bgColor rgb="00FFE9A8"/>
        </patternFill>
      </fill>
    </dxf>
    <dxf>
      <fill>
        <patternFill patternType="solid">
          <fgColor rgb="00CFE8F7"/>
          <bgColor rgb="00CFE8F7"/>
        </patternFill>
      </fill>
    </dxf>
    <dxf>
      <font>
        <name val="Meiryo"/>
        <b val="1"/>
        <color rgb="00C0392B"/>
      </font>
    </dxf>
    <dxf>
      <font>
        <name val="Meiryo"/>
        <b val="1"/>
        <color rgb="002E7D3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4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B1" s="1" t="inlineStr">
        <is>
          <t>カードの強さ　かんがえるシート（職員用）</t>
        </is>
      </c>
    </row>
    <row r="2">
      <c r="B2" s="2" t="inlineStr"/>
    </row>
    <row r="3">
      <c r="B3" s="3" t="inlineStr">
        <is>
          <t>このファイルは、カードの強さ（HP・ワザのダメージ）を、職員で楽に考えるためのテンプレートです。</t>
        </is>
      </c>
    </row>
    <row r="4">
      <c r="B4" s="3" t="inlineStr">
        <is>
          <t>黄色のマスに入力すると、「強さ点」と「ランク（A・B・C）」が自動で計算されます。</t>
        </is>
      </c>
    </row>
    <row r="5">
      <c r="B5" s="2" t="inlineStr"/>
    </row>
    <row r="6">
      <c r="B6" s="4" t="inlineStr">
        <is>
          <t>【つかいかた】</t>
        </is>
      </c>
    </row>
    <row r="7">
      <c r="B7" s="3" t="inlineStr">
        <is>
          <t>① 「設定」シートで、強さ点の計算の仕方、ランクの境目、デッキの枚数制限を決める。（最初から例が入っています）</t>
        </is>
      </c>
    </row>
    <row r="8">
      <c r="B8" s="3" t="inlineStr">
        <is>
          <t>② 「カード一覧」シートに、カードのなまえ・HP・ワザのダメージ・エネルギーの数を入力する。</t>
        </is>
      </c>
    </row>
    <row r="9">
      <c r="B9" s="3" t="inlineStr">
        <is>
          <t>③ 「強さ点」「ランク」「チェック」が自動で出る。チェックに「確認」と出たら、数字を見直す。</t>
        </is>
      </c>
    </row>
    <row r="10">
      <c r="B10" s="3" t="inlineStr">
        <is>
          <t>④ 子どもがデッキを作ったら、「デッキチェック」シートに、カードのNo.を入れて、枚数制限を守れているか調べる。</t>
        </is>
      </c>
    </row>
    <row r="11">
      <c r="B11" s="2" t="inlineStr"/>
    </row>
    <row r="12">
      <c r="B12" s="4" t="inlineStr">
        <is>
          <t>【強さ点のきまり（例）】</t>
        </is>
      </c>
    </row>
    <row r="13">
      <c r="B13" s="3" t="inlineStr">
        <is>
          <t>強さ点 ＝ HP ÷ 10 ＋ いちばん大きいワザのダメージ ÷ 10 ＋ 特別な効果の点（0〜3）</t>
        </is>
      </c>
    </row>
    <row r="14">
      <c r="B14" s="2" t="inlineStr">
        <is>
          <t>※ ÷10の数字や、ランクの境目は、「設定」シートで変えられます。数字はすべて例です。実際に遊んでみて、職員で調整してください。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62" customWidth="1" min="3" max="3"/>
  </cols>
  <sheetData>
    <row r="1">
      <c r="A1" s="5" t="inlineStr">
        <is>
          <t>こうもく</t>
        </is>
      </c>
      <c r="B1" s="5" t="inlineStr">
        <is>
          <t>数字</t>
        </is>
      </c>
      <c r="C1" s="5" t="inlineStr">
        <is>
          <t>せつめい</t>
        </is>
      </c>
    </row>
    <row r="2">
      <c r="A2" s="6" t="inlineStr">
        <is>
          <t>【強さ点の計算】</t>
        </is>
      </c>
      <c r="B2" s="7" t="n"/>
      <c r="C2" s="7" t="n"/>
    </row>
    <row r="3">
      <c r="A3" s="8" t="inlineStr">
        <is>
          <t>HPを何で割るか</t>
        </is>
      </c>
      <c r="B3" s="9" t="n">
        <v>10</v>
      </c>
      <c r="C3" s="10" t="inlineStr">
        <is>
          <t>強さ点 ＝ HP ÷ この数</t>
        </is>
      </c>
    </row>
    <row r="4">
      <c r="A4" s="8" t="inlineStr">
        <is>
          <t>ダメージを何で割るか</t>
        </is>
      </c>
      <c r="B4" s="9" t="n">
        <v>10</v>
      </c>
      <c r="C4" s="10" t="inlineStr">
        <is>
          <t>強さ点 ＝ いちばん大きいワザのダメージ ÷ この数</t>
        </is>
      </c>
    </row>
    <row r="5">
      <c r="A5" s="6" t="inlineStr">
        <is>
          <t>【ランクの境目】</t>
        </is>
      </c>
      <c r="B5" s="7" t="n"/>
      <c r="C5" s="7" t="n"/>
    </row>
    <row r="6">
      <c r="A6" s="8" t="inlineStr">
        <is>
          <t>Bランクになる強さ点（これ以上）</t>
        </is>
      </c>
      <c r="B6" s="9" t="n">
        <v>10</v>
      </c>
      <c r="C6" s="10" t="inlineStr">
        <is>
          <t>この点数以上で、Bランク</t>
        </is>
      </c>
    </row>
    <row r="7">
      <c r="A7" s="8" t="inlineStr">
        <is>
          <t>Aランクになる強さ点（これ以上）</t>
        </is>
      </c>
      <c r="B7" s="9" t="n">
        <v>14</v>
      </c>
      <c r="C7" s="10" t="inlineStr">
        <is>
          <t>この点数以上で、Aランク。それより下はCランク</t>
        </is>
      </c>
    </row>
    <row r="8">
      <c r="A8" s="6" t="inlineStr">
        <is>
          <t>【デッキの枚数制限】</t>
        </is>
      </c>
      <c r="B8" s="7" t="n"/>
      <c r="C8" s="7" t="n"/>
    </row>
    <row r="9">
      <c r="A9" s="8" t="inlineStr">
        <is>
          <t>デッキのポケモンの枚数</t>
        </is>
      </c>
      <c r="B9" s="9" t="n">
        <v>8</v>
      </c>
      <c r="C9" s="10" t="inlineStr">
        <is>
          <t>デッキ20枚のうち、ポケモンの枚数</t>
        </is>
      </c>
    </row>
    <row r="10">
      <c r="A10" s="8" t="inlineStr">
        <is>
          <t>Aランクは何枚まで</t>
        </is>
      </c>
      <c r="B10" s="9" t="n">
        <v>1</v>
      </c>
      <c r="C10" s="10" t="inlineStr">
        <is>
          <t>強いカードの上限</t>
        </is>
      </c>
    </row>
    <row r="11">
      <c r="A11" s="8" t="inlineStr">
        <is>
          <t>Bランクは何枚まで</t>
        </is>
      </c>
      <c r="B11" s="9" t="n">
        <v>3</v>
      </c>
      <c r="C11" s="10" t="inlineStr">
        <is>
          <t>ふつうのカードの上限</t>
        </is>
      </c>
    </row>
    <row r="12">
      <c r="A12" s="8" t="inlineStr">
        <is>
          <t>Cランクは何枚まで</t>
        </is>
      </c>
      <c r="B12" s="9" t="n">
        <v>8</v>
      </c>
      <c r="C12" s="10" t="inlineStr">
        <is>
          <t>制限なしにしたいときは、ポケモンの枚数と同じにする</t>
        </is>
      </c>
    </row>
    <row r="13">
      <c r="A13" s="6" t="inlineStr">
        <is>
          <t>【カードの数字の目安（はんい）】</t>
        </is>
      </c>
      <c r="B13" s="7" t="n"/>
      <c r="C13" s="7" t="n"/>
    </row>
    <row r="14">
      <c r="A14" s="8" t="inlineStr">
        <is>
          <t>HPの下限</t>
        </is>
      </c>
      <c r="B14" s="9" t="n">
        <v>40</v>
      </c>
      <c r="C14" s="10" t="inlineStr">
        <is>
          <t>これより小さいと、チェックに「確認」と出る</t>
        </is>
      </c>
    </row>
    <row r="15">
      <c r="A15" s="8" t="inlineStr">
        <is>
          <t>HPの上限</t>
        </is>
      </c>
      <c r="B15" s="9" t="n">
        <v>100</v>
      </c>
      <c r="C15" s="10" t="inlineStr">
        <is>
          <t>これより大きいと、チェックに「確認」と出る</t>
        </is>
      </c>
    </row>
    <row r="16">
      <c r="A16" s="8" t="inlineStr">
        <is>
          <t>エネルギー1個のワザの、ダメージ上限</t>
        </is>
      </c>
      <c r="B16" s="9" t="n">
        <v>30</v>
      </c>
      <c r="C16" s="10" t="inlineStr">
        <is>
          <t>エネルギー1個のワザは、これ以下</t>
        </is>
      </c>
    </row>
    <row r="17">
      <c r="A17" s="8" t="inlineStr">
        <is>
          <t>エネルギー2個のワザの、ダメージ上限</t>
        </is>
      </c>
      <c r="B17" s="9" t="n">
        <v>60</v>
      </c>
      <c r="C17" s="10" t="inlineStr">
        <is>
          <t>エネルギー2個のワザは、これ以下</t>
        </is>
      </c>
    </row>
    <row r="18">
      <c r="A18" s="8" t="inlineStr">
        <is>
          <t>エネルギー3個以上のワザの、ダメージ上限</t>
        </is>
      </c>
      <c r="B18" s="9" t="n">
        <v>90</v>
      </c>
      <c r="C18" s="10" t="inlineStr">
        <is>
          <t>エネルギー3個以上のワザは、これ以下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9" customWidth="1" min="3" max="3"/>
    <col width="7" customWidth="1" min="4" max="4"/>
    <col width="14" customWidth="1" min="5" max="5"/>
    <col width="10" customWidth="1" min="6" max="6"/>
    <col width="12" customWidth="1" min="7" max="7"/>
    <col width="14" customWidth="1" min="8" max="8"/>
    <col width="10" customWidth="1" min="9" max="9"/>
    <col width="12" customWidth="1" min="10" max="10"/>
    <col width="11" customWidth="1" min="11" max="11"/>
    <col width="14" customWidth="1" min="12" max="12"/>
    <col width="9" customWidth="1" min="13" max="13"/>
    <col width="9" customWidth="1" min="14" max="14"/>
    <col width="14" customWidth="1" min="15" max="15"/>
  </cols>
  <sheetData>
    <row r="1" ht="42" customHeight="1">
      <c r="A1" s="5" t="inlineStr">
        <is>
          <t>No.</t>
        </is>
      </c>
      <c r="B1" s="5" t="inlineStr">
        <is>
          <t>カードのなまえ</t>
        </is>
      </c>
      <c r="C1" s="5" t="inlineStr">
        <is>
          <t>タイプ</t>
        </is>
      </c>
      <c r="D1" s="5" t="inlineStr">
        <is>
          <t>HP</t>
        </is>
      </c>
      <c r="E1" s="5" t="inlineStr">
        <is>
          <t>ワザ1の
なまえ</t>
        </is>
      </c>
      <c r="F1" s="5" t="inlineStr">
        <is>
          <t>ワザ1の
ダメージ</t>
        </is>
      </c>
      <c r="G1" s="5" t="inlineStr">
        <is>
          <t>ワザ1の
エネルギー数</t>
        </is>
      </c>
      <c r="H1" s="5" t="inlineStr">
        <is>
          <t>ワザ2の
なまえ</t>
        </is>
      </c>
      <c r="I1" s="5" t="inlineStr">
        <is>
          <t>ワザ2の
ダメージ</t>
        </is>
      </c>
      <c r="J1" s="5" t="inlineStr">
        <is>
          <t>ワザ2の
エネルギー数</t>
        </is>
      </c>
      <c r="K1" s="5" t="inlineStr">
        <is>
          <t>にげる
エネルギー数</t>
        </is>
      </c>
      <c r="L1" s="5" t="inlineStr">
        <is>
          <t>特別な効果の点
（0〜3）</t>
        </is>
      </c>
      <c r="M1" s="5" t="inlineStr">
        <is>
          <t>強さ点
（自動）</t>
        </is>
      </c>
      <c r="N1" s="5" t="inlineStr">
        <is>
          <t>ランク
（自動）</t>
        </is>
      </c>
      <c r="O1" s="5" t="inlineStr">
        <is>
          <t>チェック
（自動）</t>
        </is>
      </c>
    </row>
    <row r="2">
      <c r="A2" s="11" t="n">
        <v>1</v>
      </c>
      <c r="B2" s="12" t="inlineStr">
        <is>
          <t>ばくえんリュウ</t>
        </is>
      </c>
      <c r="C2" s="13" t="inlineStr">
        <is>
          <t>ほのお</t>
        </is>
      </c>
      <c r="D2" s="13" t="n">
        <v>90</v>
      </c>
      <c r="E2" s="12" t="inlineStr">
        <is>
          <t>ひのたま</t>
        </is>
      </c>
      <c r="F2" s="13" t="n">
        <v>30</v>
      </c>
      <c r="G2" s="13" t="n">
        <v>1</v>
      </c>
      <c r="H2" s="12" t="inlineStr">
        <is>
          <t>だいもんじ</t>
        </is>
      </c>
      <c r="I2" s="13" t="n">
        <v>60</v>
      </c>
      <c r="J2" s="13" t="n">
        <v>2</v>
      </c>
      <c r="K2" s="13" t="n">
        <v>1</v>
      </c>
      <c r="L2" s="13" t="n">
        <v>0</v>
      </c>
      <c r="M2" s="14">
        <f>IF(D2="","",ROUND(D2/設定!$B$3+MAX(F2,I2)/設定!$B$4+L2,1))</f>
        <v/>
      </c>
      <c r="N2" s="14">
        <f>IF(M2="","",IF(M2&gt;=設定!$B$7,"A",IF(M2&gt;=設定!$B$6,"B","C")))</f>
        <v/>
      </c>
      <c r="O2" s="14">
        <f>IF(D2="","",IF(OR(D2&lt;設定!$B$14,D2&gt;設定!$B$15),"HPを確認",IF(OR(F2&gt;IF(G2=1,設定!$B$16,IF(G2=2,設定!$B$17,設定!$B$18)),I2&gt;IF(J2=1,設定!$B$16,IF(J2=2,設定!$B$17,設定!$B$18))),"ダメージを確認","OK")))</f>
        <v/>
      </c>
    </row>
    <row r="3">
      <c r="A3" s="11" t="n">
        <v>2</v>
      </c>
      <c r="B3" s="12" t="inlineStr">
        <is>
          <t>あらしクジラ</t>
        </is>
      </c>
      <c r="C3" s="13" t="inlineStr">
        <is>
          <t>みず</t>
        </is>
      </c>
      <c r="D3" s="13" t="n">
        <v>100</v>
      </c>
      <c r="E3" s="12" t="inlineStr">
        <is>
          <t>みずしぶき</t>
        </is>
      </c>
      <c r="F3" s="13" t="n">
        <v>20</v>
      </c>
      <c r="G3" s="13" t="n">
        <v>1</v>
      </c>
      <c r="H3" s="12" t="inlineStr">
        <is>
          <t>だいこうずい</t>
        </is>
      </c>
      <c r="I3" s="13" t="n">
        <v>60</v>
      </c>
      <c r="J3" s="13" t="n">
        <v>2</v>
      </c>
      <c r="K3" s="13" t="n">
        <v>1</v>
      </c>
      <c r="L3" s="13" t="n">
        <v>0</v>
      </c>
      <c r="M3" s="14">
        <f>IF(D3="","",ROUND(D3/設定!$B$3+MAX(F3,I3)/設定!$B$4+L3,1))</f>
        <v/>
      </c>
      <c r="N3" s="14">
        <f>IF(M3="","",IF(M3&gt;=設定!$B$7,"A",IF(M3&gt;=設定!$B$6,"B","C")))</f>
        <v/>
      </c>
      <c r="O3" s="14">
        <f>IF(D3="","",IF(OR(D3&lt;設定!$B$14,D3&gt;設定!$B$15),"HPを確認",IF(OR(F3&gt;IF(G3=1,設定!$B$16,IF(G3=2,設定!$B$17,設定!$B$18)),I3&gt;IF(J3=1,設定!$B$16,IF(J3=2,設定!$B$17,設定!$B$18))),"ダメージを確認","OK")))</f>
        <v/>
      </c>
    </row>
    <row r="4">
      <c r="A4" s="11" t="n">
        <v>3</v>
      </c>
      <c r="B4" s="12" t="inlineStr">
        <is>
          <t>ひふきトカゲ</t>
        </is>
      </c>
      <c r="C4" s="13" t="inlineStr">
        <is>
          <t>ほのお</t>
        </is>
      </c>
      <c r="D4" s="13" t="n">
        <v>60</v>
      </c>
      <c r="E4" s="12" t="inlineStr">
        <is>
          <t>ひのこ</t>
        </is>
      </c>
      <c r="F4" s="13" t="n">
        <v>20</v>
      </c>
      <c r="G4" s="13" t="n">
        <v>1</v>
      </c>
      <c r="H4" s="12" t="inlineStr">
        <is>
          <t>ほのおのしっぽ</t>
        </is>
      </c>
      <c r="I4" s="13" t="n">
        <v>50</v>
      </c>
      <c r="J4" s="13" t="n">
        <v>2</v>
      </c>
      <c r="K4" s="13" t="n">
        <v>1</v>
      </c>
      <c r="L4" s="13" t="n">
        <v>0</v>
      </c>
      <c r="M4" s="14">
        <f>IF(D4="","",ROUND(D4/設定!$B$3+MAX(F4,I4)/設定!$B$4+L4,1))</f>
        <v/>
      </c>
      <c r="N4" s="14">
        <f>IF(M4="","",IF(M4&gt;=設定!$B$7,"A",IF(M4&gt;=設定!$B$6,"B","C")))</f>
        <v/>
      </c>
      <c r="O4" s="14">
        <f>IF(D4="","",IF(OR(D4&lt;設定!$B$14,D4&gt;設定!$B$15),"HPを確認",IF(OR(F4&gt;IF(G4=1,設定!$B$16,IF(G4=2,設定!$B$17,設定!$B$18)),I4&gt;IF(J4=1,設定!$B$16,IF(J4=2,設定!$B$17,設定!$B$18))),"ダメージを確認","OK")))</f>
        <v/>
      </c>
    </row>
    <row r="5">
      <c r="A5" s="11" t="n">
        <v>4</v>
      </c>
      <c r="B5" s="12" t="inlineStr">
        <is>
          <t>あめふりガエル</t>
        </is>
      </c>
      <c r="C5" s="13" t="inlineStr">
        <is>
          <t>みず</t>
        </is>
      </c>
      <c r="D5" s="13" t="n">
        <v>70</v>
      </c>
      <c r="E5" s="12" t="inlineStr">
        <is>
          <t>みずでっぽう</t>
        </is>
      </c>
      <c r="F5" s="13" t="n">
        <v>20</v>
      </c>
      <c r="G5" s="13" t="n">
        <v>1</v>
      </c>
      <c r="H5" s="12" t="inlineStr">
        <is>
          <t>ずぶぬれ</t>
        </is>
      </c>
      <c r="I5" s="13" t="n">
        <v>50</v>
      </c>
      <c r="J5" s="13" t="n">
        <v>2</v>
      </c>
      <c r="K5" s="13" t="n">
        <v>1</v>
      </c>
      <c r="L5" s="13" t="n">
        <v>0</v>
      </c>
      <c r="M5" s="14">
        <f>IF(D5="","",ROUND(D5/設定!$B$3+MAX(F5,I5)/設定!$B$4+L5,1))</f>
        <v/>
      </c>
      <c r="N5" s="14">
        <f>IF(M5="","",IF(M5&gt;=設定!$B$7,"A",IF(M5&gt;=設定!$B$6,"B","C")))</f>
        <v/>
      </c>
      <c r="O5" s="14">
        <f>IF(D5="","",IF(OR(D5&lt;設定!$B$14,D5&gt;設定!$B$15),"HPを確認",IF(OR(F5&gt;IF(G5=1,設定!$B$16,IF(G5=2,設定!$B$17,設定!$B$18)),I5&gt;IF(J5=1,設定!$B$16,IF(J5=2,設定!$B$17,設定!$B$18))),"ダメージを確認","OK")))</f>
        <v/>
      </c>
    </row>
    <row r="6">
      <c r="A6" s="11" t="n">
        <v>5</v>
      </c>
      <c r="B6" s="12" t="inlineStr">
        <is>
          <t>はっぱウサギ</t>
        </is>
      </c>
      <c r="C6" s="13" t="inlineStr">
        <is>
          <t>くさ</t>
        </is>
      </c>
      <c r="D6" s="13" t="n">
        <v>60</v>
      </c>
      <c r="E6" s="12" t="inlineStr">
        <is>
          <t>はっぱカッター</t>
        </is>
      </c>
      <c r="F6" s="13" t="n">
        <v>20</v>
      </c>
      <c r="G6" s="13" t="n">
        <v>1</v>
      </c>
      <c r="H6" s="12" t="inlineStr">
        <is>
          <t>ふわタックル</t>
        </is>
      </c>
      <c r="I6" s="13" t="n">
        <v>50</v>
      </c>
      <c r="J6" s="13" t="n">
        <v>2</v>
      </c>
      <c r="K6" s="13" t="n">
        <v>1</v>
      </c>
      <c r="L6" s="13" t="n">
        <v>0</v>
      </c>
      <c r="M6" s="14">
        <f>IF(D6="","",ROUND(D6/設定!$B$3+MAX(F6,I6)/設定!$B$4+L6,1))</f>
        <v/>
      </c>
      <c r="N6" s="14">
        <f>IF(M6="","",IF(M6&gt;=設定!$B$7,"A",IF(M6&gt;=設定!$B$6,"B","C")))</f>
        <v/>
      </c>
      <c r="O6" s="14">
        <f>IF(D6="","",IF(OR(D6&lt;設定!$B$14,D6&gt;設定!$B$15),"HPを確認",IF(OR(F6&gt;IF(G6=1,設定!$B$16,IF(G6=2,設定!$B$17,設定!$B$18)),I6&gt;IF(J6=1,設定!$B$16,IF(J6=2,設定!$B$17,設定!$B$18))),"ダメージを確認","OK")))</f>
        <v/>
      </c>
    </row>
    <row r="7">
      <c r="A7" s="11" t="n">
        <v>6</v>
      </c>
      <c r="B7" s="12" t="inlineStr">
        <is>
          <t>ちびキツネ</t>
        </is>
      </c>
      <c r="C7" s="13" t="inlineStr">
        <is>
          <t>ほのお</t>
        </is>
      </c>
      <c r="D7" s="13" t="n">
        <v>50</v>
      </c>
      <c r="E7" s="12" t="inlineStr">
        <is>
          <t>ぽっぽひ</t>
        </is>
      </c>
      <c r="F7" s="13" t="n">
        <v>10</v>
      </c>
      <c r="G7" s="13" t="n">
        <v>1</v>
      </c>
      <c r="H7" s="12" t="inlineStr">
        <is>
          <t>ほのおダッシュ</t>
        </is>
      </c>
      <c r="I7" s="13" t="n">
        <v>30</v>
      </c>
      <c r="J7" s="13" t="n">
        <v>2</v>
      </c>
      <c r="K7" s="13" t="n">
        <v>1</v>
      </c>
      <c r="L7" s="13" t="n">
        <v>0</v>
      </c>
      <c r="M7" s="14">
        <f>IF(D7="","",ROUND(D7/設定!$B$3+MAX(F7,I7)/設定!$B$4+L7,1))</f>
        <v/>
      </c>
      <c r="N7" s="14">
        <f>IF(M7="","",IF(M7&gt;=設定!$B$7,"A",IF(M7&gt;=設定!$B$6,"B","C")))</f>
        <v/>
      </c>
      <c r="O7" s="14">
        <f>IF(D7="","",IF(OR(D7&lt;設定!$B$14,D7&gt;設定!$B$15),"HPを確認",IF(OR(F7&gt;IF(G7=1,設定!$B$16,IF(G7=2,設定!$B$17,設定!$B$18)),I7&gt;IF(J7=1,設定!$B$16,IF(J7=2,設定!$B$17,設定!$B$18))),"ダメージを確認","OK")))</f>
        <v/>
      </c>
    </row>
    <row r="8">
      <c r="A8" s="11" t="n">
        <v>7</v>
      </c>
      <c r="B8" s="12" t="inlineStr">
        <is>
          <t>ちびカメ</t>
        </is>
      </c>
      <c r="C8" s="13" t="inlineStr">
        <is>
          <t>みず</t>
        </is>
      </c>
      <c r="D8" s="13" t="n">
        <v>40</v>
      </c>
      <c r="E8" s="12" t="inlineStr">
        <is>
          <t>あわ</t>
        </is>
      </c>
      <c r="F8" s="13" t="n">
        <v>10</v>
      </c>
      <c r="G8" s="13" t="n">
        <v>1</v>
      </c>
      <c r="H8" s="12" t="inlineStr">
        <is>
          <t>ころころタックル</t>
        </is>
      </c>
      <c r="I8" s="13" t="n">
        <v>40</v>
      </c>
      <c r="J8" s="13" t="n">
        <v>2</v>
      </c>
      <c r="K8" s="13" t="n">
        <v>1</v>
      </c>
      <c r="L8" s="13" t="n">
        <v>0</v>
      </c>
      <c r="M8" s="14">
        <f>IF(D8="","",ROUND(D8/設定!$B$3+MAX(F8,I8)/設定!$B$4+L8,1))</f>
        <v/>
      </c>
      <c r="N8" s="14">
        <f>IF(M8="","",IF(M8&gt;=設定!$B$7,"A",IF(M8&gt;=設定!$B$6,"B","C")))</f>
        <v/>
      </c>
      <c r="O8" s="14">
        <f>IF(D8="","",IF(OR(D8&lt;設定!$B$14,D8&gt;設定!$B$15),"HPを確認",IF(OR(F8&gt;IF(G8=1,設定!$B$16,IF(G8=2,設定!$B$17,設定!$B$18)),I8&gt;IF(J8=1,設定!$B$16,IF(J8=2,設定!$B$17,設定!$B$18))),"ダメージを確認","OK")))</f>
        <v/>
      </c>
    </row>
    <row r="9">
      <c r="A9" s="11" t="n">
        <v>8</v>
      </c>
      <c r="B9" s="12" t="inlineStr">
        <is>
          <t>きのこぼうず</t>
        </is>
      </c>
      <c r="C9" s="13" t="inlineStr">
        <is>
          <t>くさ</t>
        </is>
      </c>
      <c r="D9" s="13" t="n">
        <v>50</v>
      </c>
      <c r="E9" s="12" t="inlineStr">
        <is>
          <t>ぽふぽふ</t>
        </is>
      </c>
      <c r="F9" s="13" t="n">
        <v>10</v>
      </c>
      <c r="G9" s="13" t="n">
        <v>1</v>
      </c>
      <c r="H9" s="12" t="inlineStr">
        <is>
          <t>ほうしこうげき</t>
        </is>
      </c>
      <c r="I9" s="13" t="n">
        <v>30</v>
      </c>
      <c r="J9" s="13" t="n">
        <v>2</v>
      </c>
      <c r="K9" s="13" t="n">
        <v>1</v>
      </c>
      <c r="L9" s="13" t="n">
        <v>0</v>
      </c>
      <c r="M9" s="14">
        <f>IF(D9="","",ROUND(D9/設定!$B$3+MAX(F9,I9)/設定!$B$4+L9,1))</f>
        <v/>
      </c>
      <c r="N9" s="14">
        <f>IF(M9="","",IF(M9&gt;=設定!$B$7,"A",IF(M9&gt;=設定!$B$6,"B","C")))</f>
        <v/>
      </c>
      <c r="O9" s="14">
        <f>IF(D9="","",IF(OR(D9&lt;設定!$B$14,D9&gt;設定!$B$15),"HPを確認",IF(OR(F9&gt;IF(G9=1,設定!$B$16,IF(G9=2,設定!$B$17,設定!$B$18)),I9&gt;IF(J9=1,設定!$B$16,IF(J9=2,設定!$B$17,設定!$B$18))),"ダメージを確認","OK")))</f>
        <v/>
      </c>
    </row>
    <row r="10">
      <c r="A10" s="11" t="n">
        <v>9</v>
      </c>
      <c r="B10" s="12" t="inlineStr">
        <is>
          <t>ひまわりヒヨコ</t>
        </is>
      </c>
      <c r="C10" s="13" t="inlineStr">
        <is>
          <t>くさ</t>
        </is>
      </c>
      <c r="D10" s="13" t="n">
        <v>60</v>
      </c>
      <c r="E10" s="12" t="inlineStr">
        <is>
          <t>つつく</t>
        </is>
      </c>
      <c r="F10" s="13" t="n">
        <v>10</v>
      </c>
      <c r="G10" s="13" t="n">
        <v>1</v>
      </c>
      <c r="H10" s="12" t="inlineStr">
        <is>
          <t>ひかりのたね</t>
        </is>
      </c>
      <c r="I10" s="13" t="n">
        <v>30</v>
      </c>
      <c r="J10" s="13" t="n">
        <v>2</v>
      </c>
      <c r="K10" s="13" t="n">
        <v>1</v>
      </c>
      <c r="L10" s="13" t="n">
        <v>0</v>
      </c>
      <c r="M10" s="14">
        <f>IF(D10="","",ROUND(D10/設定!$B$3+MAX(F10,I10)/設定!$B$4+L10,1))</f>
        <v/>
      </c>
      <c r="N10" s="14">
        <f>IF(M10="","",IF(M10&gt;=設定!$B$7,"A",IF(M10&gt;=設定!$B$6,"B","C")))</f>
        <v/>
      </c>
      <c r="O10" s="14">
        <f>IF(D10="","",IF(OR(D10&lt;設定!$B$14,D10&gt;設定!$B$15),"HPを確認",IF(OR(F10&gt;IF(G10=1,設定!$B$16,IF(G10=2,設定!$B$17,設定!$B$18)),I10&gt;IF(J10=1,設定!$B$16,IF(J10=2,設定!$B$17,設定!$B$18))),"ダメージを確認","OK")))</f>
        <v/>
      </c>
    </row>
    <row r="11">
      <c r="A11" s="11" t="n">
        <v>10</v>
      </c>
      <c r="B11" s="12" t="n"/>
      <c r="C11" s="13" t="n"/>
      <c r="D11" s="13" t="n"/>
      <c r="E11" s="12" t="n"/>
      <c r="F11" s="13" t="n"/>
      <c r="G11" s="13" t="n"/>
      <c r="H11" s="12" t="n"/>
      <c r="I11" s="13" t="n"/>
      <c r="J11" s="13" t="n"/>
      <c r="K11" s="13" t="n"/>
      <c r="L11" s="13" t="n"/>
      <c r="M11" s="14">
        <f>IF(D11="","",ROUND(D11/設定!$B$3+MAX(F11,I11)/設定!$B$4+L11,1))</f>
        <v/>
      </c>
      <c r="N11" s="14">
        <f>IF(M11="","",IF(M11&gt;=設定!$B$7,"A",IF(M11&gt;=設定!$B$6,"B","C")))</f>
        <v/>
      </c>
      <c r="O11" s="14">
        <f>IF(D11="","",IF(OR(D11&lt;設定!$B$14,D11&gt;設定!$B$15),"HPを確認",IF(OR(F11&gt;IF(G11=1,設定!$B$16,IF(G11=2,設定!$B$17,設定!$B$18)),I11&gt;IF(J11=1,設定!$B$16,IF(J11=2,設定!$B$17,設定!$B$18))),"ダメージを確認","OK")))</f>
        <v/>
      </c>
    </row>
    <row r="12">
      <c r="A12" s="11" t="n">
        <v>11</v>
      </c>
      <c r="B12" s="12" t="n"/>
      <c r="C12" s="13" t="n"/>
      <c r="D12" s="13" t="n"/>
      <c r="E12" s="12" t="n"/>
      <c r="F12" s="13" t="n"/>
      <c r="G12" s="13" t="n"/>
      <c r="H12" s="12" t="n"/>
      <c r="I12" s="13" t="n"/>
      <c r="J12" s="13" t="n"/>
      <c r="K12" s="13" t="n"/>
      <c r="L12" s="13" t="n"/>
      <c r="M12" s="14">
        <f>IF(D12="","",ROUND(D12/設定!$B$3+MAX(F12,I12)/設定!$B$4+L12,1))</f>
        <v/>
      </c>
      <c r="N12" s="14">
        <f>IF(M12="","",IF(M12&gt;=設定!$B$7,"A",IF(M12&gt;=設定!$B$6,"B","C")))</f>
        <v/>
      </c>
      <c r="O12" s="14">
        <f>IF(D12="","",IF(OR(D12&lt;設定!$B$14,D12&gt;設定!$B$15),"HPを確認",IF(OR(F12&gt;IF(G12=1,設定!$B$16,IF(G12=2,設定!$B$17,設定!$B$18)),I12&gt;IF(J12=1,設定!$B$16,IF(J12=2,設定!$B$17,設定!$B$18))),"ダメージを確認","OK")))</f>
        <v/>
      </c>
    </row>
    <row r="13">
      <c r="A13" s="11" t="n">
        <v>12</v>
      </c>
      <c r="B13" s="12" t="n"/>
      <c r="C13" s="13" t="n"/>
      <c r="D13" s="13" t="n"/>
      <c r="E13" s="12" t="n"/>
      <c r="F13" s="13" t="n"/>
      <c r="G13" s="13" t="n"/>
      <c r="H13" s="12" t="n"/>
      <c r="I13" s="13" t="n"/>
      <c r="J13" s="13" t="n"/>
      <c r="K13" s="13" t="n"/>
      <c r="L13" s="13" t="n"/>
      <c r="M13" s="14">
        <f>IF(D13="","",ROUND(D13/設定!$B$3+MAX(F13,I13)/設定!$B$4+L13,1))</f>
        <v/>
      </c>
      <c r="N13" s="14">
        <f>IF(M13="","",IF(M13&gt;=設定!$B$7,"A",IF(M13&gt;=設定!$B$6,"B","C")))</f>
        <v/>
      </c>
      <c r="O13" s="14">
        <f>IF(D13="","",IF(OR(D13&lt;設定!$B$14,D13&gt;設定!$B$15),"HPを確認",IF(OR(F13&gt;IF(G13=1,設定!$B$16,IF(G13=2,設定!$B$17,設定!$B$18)),I13&gt;IF(J13=1,設定!$B$16,IF(J13=2,設定!$B$17,設定!$B$18))),"ダメージを確認","OK")))</f>
        <v/>
      </c>
    </row>
    <row r="14">
      <c r="A14" s="11" t="n">
        <v>13</v>
      </c>
      <c r="B14" s="12" t="n"/>
      <c r="C14" s="13" t="n"/>
      <c r="D14" s="13" t="n"/>
      <c r="E14" s="12" t="n"/>
      <c r="F14" s="13" t="n"/>
      <c r="G14" s="13" t="n"/>
      <c r="H14" s="12" t="n"/>
      <c r="I14" s="13" t="n"/>
      <c r="J14" s="13" t="n"/>
      <c r="K14" s="13" t="n"/>
      <c r="L14" s="13" t="n"/>
      <c r="M14" s="14">
        <f>IF(D14="","",ROUND(D14/設定!$B$3+MAX(F14,I14)/設定!$B$4+L14,1))</f>
        <v/>
      </c>
      <c r="N14" s="14">
        <f>IF(M14="","",IF(M14&gt;=設定!$B$7,"A",IF(M14&gt;=設定!$B$6,"B","C")))</f>
        <v/>
      </c>
      <c r="O14" s="14">
        <f>IF(D14="","",IF(OR(D14&lt;設定!$B$14,D14&gt;設定!$B$15),"HPを確認",IF(OR(F14&gt;IF(G14=1,設定!$B$16,IF(G14=2,設定!$B$17,設定!$B$18)),I14&gt;IF(J14=1,設定!$B$16,IF(J14=2,設定!$B$17,設定!$B$18))),"ダメージを確認","OK")))</f>
        <v/>
      </c>
    </row>
    <row r="15">
      <c r="A15" s="11" t="n">
        <v>14</v>
      </c>
      <c r="B15" s="12" t="n"/>
      <c r="C15" s="13" t="n"/>
      <c r="D15" s="13" t="n"/>
      <c r="E15" s="12" t="n"/>
      <c r="F15" s="13" t="n"/>
      <c r="G15" s="13" t="n"/>
      <c r="H15" s="12" t="n"/>
      <c r="I15" s="13" t="n"/>
      <c r="J15" s="13" t="n"/>
      <c r="K15" s="13" t="n"/>
      <c r="L15" s="13" t="n"/>
      <c r="M15" s="14">
        <f>IF(D15="","",ROUND(D15/設定!$B$3+MAX(F15,I15)/設定!$B$4+L15,1))</f>
        <v/>
      </c>
      <c r="N15" s="14">
        <f>IF(M15="","",IF(M15&gt;=設定!$B$7,"A",IF(M15&gt;=設定!$B$6,"B","C")))</f>
        <v/>
      </c>
      <c r="O15" s="14">
        <f>IF(D15="","",IF(OR(D15&lt;設定!$B$14,D15&gt;設定!$B$15),"HPを確認",IF(OR(F15&gt;IF(G15=1,設定!$B$16,IF(G15=2,設定!$B$17,設定!$B$18)),I15&gt;IF(J15=1,設定!$B$16,IF(J15=2,設定!$B$17,設定!$B$18))),"ダメージを確認","OK")))</f>
        <v/>
      </c>
    </row>
    <row r="16">
      <c r="A16" s="11" t="n">
        <v>15</v>
      </c>
      <c r="B16" s="12" t="n"/>
      <c r="C16" s="13" t="n"/>
      <c r="D16" s="13" t="n"/>
      <c r="E16" s="12" t="n"/>
      <c r="F16" s="13" t="n"/>
      <c r="G16" s="13" t="n"/>
      <c r="H16" s="12" t="n"/>
      <c r="I16" s="13" t="n"/>
      <c r="J16" s="13" t="n"/>
      <c r="K16" s="13" t="n"/>
      <c r="L16" s="13" t="n"/>
      <c r="M16" s="14">
        <f>IF(D16="","",ROUND(D16/設定!$B$3+MAX(F16,I16)/設定!$B$4+L16,1))</f>
        <v/>
      </c>
      <c r="N16" s="14">
        <f>IF(M16="","",IF(M16&gt;=設定!$B$7,"A",IF(M16&gt;=設定!$B$6,"B","C")))</f>
        <v/>
      </c>
      <c r="O16" s="14">
        <f>IF(D16="","",IF(OR(D16&lt;設定!$B$14,D16&gt;設定!$B$15),"HPを確認",IF(OR(F16&gt;IF(G16=1,設定!$B$16,IF(G16=2,設定!$B$17,設定!$B$18)),I16&gt;IF(J16=1,設定!$B$16,IF(J16=2,設定!$B$17,設定!$B$18))),"ダメージを確認","OK")))</f>
        <v/>
      </c>
    </row>
    <row r="17">
      <c r="A17" s="11" t="n">
        <v>16</v>
      </c>
      <c r="B17" s="12" t="n"/>
      <c r="C17" s="13" t="n"/>
      <c r="D17" s="13" t="n"/>
      <c r="E17" s="12" t="n"/>
      <c r="F17" s="13" t="n"/>
      <c r="G17" s="13" t="n"/>
      <c r="H17" s="12" t="n"/>
      <c r="I17" s="13" t="n"/>
      <c r="J17" s="13" t="n"/>
      <c r="K17" s="13" t="n"/>
      <c r="L17" s="13" t="n"/>
      <c r="M17" s="14">
        <f>IF(D17="","",ROUND(D17/設定!$B$3+MAX(F17,I17)/設定!$B$4+L17,1))</f>
        <v/>
      </c>
      <c r="N17" s="14">
        <f>IF(M17="","",IF(M17&gt;=設定!$B$7,"A",IF(M17&gt;=設定!$B$6,"B","C")))</f>
        <v/>
      </c>
      <c r="O17" s="14">
        <f>IF(D17="","",IF(OR(D17&lt;設定!$B$14,D17&gt;設定!$B$15),"HPを確認",IF(OR(F17&gt;IF(G17=1,設定!$B$16,IF(G17=2,設定!$B$17,設定!$B$18)),I17&gt;IF(J17=1,設定!$B$16,IF(J17=2,設定!$B$17,設定!$B$18))),"ダメージを確認","OK")))</f>
        <v/>
      </c>
    </row>
    <row r="18">
      <c r="A18" s="11" t="n">
        <v>17</v>
      </c>
      <c r="B18" s="12" t="n"/>
      <c r="C18" s="13" t="n"/>
      <c r="D18" s="13" t="n"/>
      <c r="E18" s="12" t="n"/>
      <c r="F18" s="13" t="n"/>
      <c r="G18" s="13" t="n"/>
      <c r="H18" s="12" t="n"/>
      <c r="I18" s="13" t="n"/>
      <c r="J18" s="13" t="n"/>
      <c r="K18" s="13" t="n"/>
      <c r="L18" s="13" t="n"/>
      <c r="M18" s="14">
        <f>IF(D18="","",ROUND(D18/設定!$B$3+MAX(F18,I18)/設定!$B$4+L18,1))</f>
        <v/>
      </c>
      <c r="N18" s="14">
        <f>IF(M18="","",IF(M18&gt;=設定!$B$7,"A",IF(M18&gt;=設定!$B$6,"B","C")))</f>
        <v/>
      </c>
      <c r="O18" s="14">
        <f>IF(D18="","",IF(OR(D18&lt;設定!$B$14,D18&gt;設定!$B$15),"HPを確認",IF(OR(F18&gt;IF(G18=1,設定!$B$16,IF(G18=2,設定!$B$17,設定!$B$18)),I18&gt;IF(J18=1,設定!$B$16,IF(J18=2,設定!$B$17,設定!$B$18))),"ダメージを確認","OK")))</f>
        <v/>
      </c>
    </row>
    <row r="19">
      <c r="A19" s="11" t="n">
        <v>18</v>
      </c>
      <c r="B19" s="12" t="n"/>
      <c r="C19" s="13" t="n"/>
      <c r="D19" s="13" t="n"/>
      <c r="E19" s="12" t="n"/>
      <c r="F19" s="13" t="n"/>
      <c r="G19" s="13" t="n"/>
      <c r="H19" s="12" t="n"/>
      <c r="I19" s="13" t="n"/>
      <c r="J19" s="13" t="n"/>
      <c r="K19" s="13" t="n"/>
      <c r="L19" s="13" t="n"/>
      <c r="M19" s="14">
        <f>IF(D19="","",ROUND(D19/設定!$B$3+MAX(F19,I19)/設定!$B$4+L19,1))</f>
        <v/>
      </c>
      <c r="N19" s="14">
        <f>IF(M19="","",IF(M19&gt;=設定!$B$7,"A",IF(M19&gt;=設定!$B$6,"B","C")))</f>
        <v/>
      </c>
      <c r="O19" s="14">
        <f>IF(D19="","",IF(OR(D19&lt;設定!$B$14,D19&gt;設定!$B$15),"HPを確認",IF(OR(F19&gt;IF(G19=1,設定!$B$16,IF(G19=2,設定!$B$17,設定!$B$18)),I19&gt;IF(J19=1,設定!$B$16,IF(J19=2,設定!$B$17,設定!$B$18))),"ダメージを確認","OK")))</f>
        <v/>
      </c>
    </row>
    <row r="20">
      <c r="A20" s="11" t="n">
        <v>19</v>
      </c>
      <c r="B20" s="12" t="n"/>
      <c r="C20" s="13" t="n"/>
      <c r="D20" s="13" t="n"/>
      <c r="E20" s="12" t="n"/>
      <c r="F20" s="13" t="n"/>
      <c r="G20" s="13" t="n"/>
      <c r="H20" s="12" t="n"/>
      <c r="I20" s="13" t="n"/>
      <c r="J20" s="13" t="n"/>
      <c r="K20" s="13" t="n"/>
      <c r="L20" s="13" t="n"/>
      <c r="M20" s="14">
        <f>IF(D20="","",ROUND(D20/設定!$B$3+MAX(F20,I20)/設定!$B$4+L20,1))</f>
        <v/>
      </c>
      <c r="N20" s="14">
        <f>IF(M20="","",IF(M20&gt;=設定!$B$7,"A",IF(M20&gt;=設定!$B$6,"B","C")))</f>
        <v/>
      </c>
      <c r="O20" s="14">
        <f>IF(D20="","",IF(OR(D20&lt;設定!$B$14,D20&gt;設定!$B$15),"HPを確認",IF(OR(F20&gt;IF(G20=1,設定!$B$16,IF(G20=2,設定!$B$17,設定!$B$18)),I20&gt;IF(J20=1,設定!$B$16,IF(J20=2,設定!$B$17,設定!$B$18))),"ダメージを確認","OK")))</f>
        <v/>
      </c>
    </row>
    <row r="21">
      <c r="A21" s="11" t="n">
        <v>20</v>
      </c>
      <c r="B21" s="12" t="n"/>
      <c r="C21" s="13" t="n"/>
      <c r="D21" s="13" t="n"/>
      <c r="E21" s="12" t="n"/>
      <c r="F21" s="13" t="n"/>
      <c r="G21" s="13" t="n"/>
      <c r="H21" s="12" t="n"/>
      <c r="I21" s="13" t="n"/>
      <c r="J21" s="13" t="n"/>
      <c r="K21" s="13" t="n"/>
      <c r="L21" s="13" t="n"/>
      <c r="M21" s="14">
        <f>IF(D21="","",ROUND(D21/設定!$B$3+MAX(F21,I21)/設定!$B$4+L21,1))</f>
        <v/>
      </c>
      <c r="N21" s="14">
        <f>IF(M21="","",IF(M21&gt;=設定!$B$7,"A",IF(M21&gt;=設定!$B$6,"B","C")))</f>
        <v/>
      </c>
      <c r="O21" s="14">
        <f>IF(D21="","",IF(OR(D21&lt;設定!$B$14,D21&gt;設定!$B$15),"HPを確認",IF(OR(F21&gt;IF(G21=1,設定!$B$16,IF(G21=2,設定!$B$17,設定!$B$18)),I21&gt;IF(J21=1,設定!$B$16,IF(J21=2,設定!$B$17,設定!$B$18))),"ダメージを確認","OK")))</f>
        <v/>
      </c>
    </row>
    <row r="22">
      <c r="A22" s="11" t="n">
        <v>21</v>
      </c>
      <c r="B22" s="12" t="n"/>
      <c r="C22" s="13" t="n"/>
      <c r="D22" s="13" t="n"/>
      <c r="E22" s="12" t="n"/>
      <c r="F22" s="13" t="n"/>
      <c r="G22" s="13" t="n"/>
      <c r="H22" s="12" t="n"/>
      <c r="I22" s="13" t="n"/>
      <c r="J22" s="13" t="n"/>
      <c r="K22" s="13" t="n"/>
      <c r="L22" s="13" t="n"/>
      <c r="M22" s="14">
        <f>IF(D22="","",ROUND(D22/設定!$B$3+MAX(F22,I22)/設定!$B$4+L22,1))</f>
        <v/>
      </c>
      <c r="N22" s="14">
        <f>IF(M22="","",IF(M22&gt;=設定!$B$7,"A",IF(M22&gt;=設定!$B$6,"B","C")))</f>
        <v/>
      </c>
      <c r="O22" s="14">
        <f>IF(D22="","",IF(OR(D22&lt;設定!$B$14,D22&gt;設定!$B$15),"HPを確認",IF(OR(F22&gt;IF(G22=1,設定!$B$16,IF(G22=2,設定!$B$17,設定!$B$18)),I22&gt;IF(J22=1,設定!$B$16,IF(J22=2,設定!$B$17,設定!$B$18))),"ダメージを確認","OK")))</f>
        <v/>
      </c>
    </row>
    <row r="23">
      <c r="A23" s="11" t="n">
        <v>22</v>
      </c>
      <c r="B23" s="12" t="n"/>
      <c r="C23" s="13" t="n"/>
      <c r="D23" s="13" t="n"/>
      <c r="E23" s="12" t="n"/>
      <c r="F23" s="13" t="n"/>
      <c r="G23" s="13" t="n"/>
      <c r="H23" s="12" t="n"/>
      <c r="I23" s="13" t="n"/>
      <c r="J23" s="13" t="n"/>
      <c r="K23" s="13" t="n"/>
      <c r="L23" s="13" t="n"/>
      <c r="M23" s="14">
        <f>IF(D23="","",ROUND(D23/設定!$B$3+MAX(F23,I23)/設定!$B$4+L23,1))</f>
        <v/>
      </c>
      <c r="N23" s="14">
        <f>IF(M23="","",IF(M23&gt;=設定!$B$7,"A",IF(M23&gt;=設定!$B$6,"B","C")))</f>
        <v/>
      </c>
      <c r="O23" s="14">
        <f>IF(D23="","",IF(OR(D23&lt;設定!$B$14,D23&gt;設定!$B$15),"HPを確認",IF(OR(F23&gt;IF(G23=1,設定!$B$16,IF(G23=2,設定!$B$17,設定!$B$18)),I23&gt;IF(J23=1,設定!$B$16,IF(J23=2,設定!$B$17,設定!$B$18))),"ダメージを確認","OK")))</f>
        <v/>
      </c>
    </row>
    <row r="24">
      <c r="A24" s="11" t="n">
        <v>23</v>
      </c>
      <c r="B24" s="12" t="n"/>
      <c r="C24" s="13" t="n"/>
      <c r="D24" s="13" t="n"/>
      <c r="E24" s="12" t="n"/>
      <c r="F24" s="13" t="n"/>
      <c r="G24" s="13" t="n"/>
      <c r="H24" s="12" t="n"/>
      <c r="I24" s="13" t="n"/>
      <c r="J24" s="13" t="n"/>
      <c r="K24" s="13" t="n"/>
      <c r="L24" s="13" t="n"/>
      <c r="M24" s="14">
        <f>IF(D24="","",ROUND(D24/設定!$B$3+MAX(F24,I24)/設定!$B$4+L24,1))</f>
        <v/>
      </c>
      <c r="N24" s="14">
        <f>IF(M24="","",IF(M24&gt;=設定!$B$7,"A",IF(M24&gt;=設定!$B$6,"B","C")))</f>
        <v/>
      </c>
      <c r="O24" s="14">
        <f>IF(D24="","",IF(OR(D24&lt;設定!$B$14,D24&gt;設定!$B$15),"HPを確認",IF(OR(F24&gt;IF(G24=1,設定!$B$16,IF(G24=2,設定!$B$17,設定!$B$18)),I24&gt;IF(J24=1,設定!$B$16,IF(J24=2,設定!$B$17,設定!$B$18))),"ダメージを確認","OK")))</f>
        <v/>
      </c>
    </row>
    <row r="25">
      <c r="A25" s="11" t="n">
        <v>24</v>
      </c>
      <c r="B25" s="12" t="n"/>
      <c r="C25" s="13" t="n"/>
      <c r="D25" s="13" t="n"/>
      <c r="E25" s="12" t="n"/>
      <c r="F25" s="13" t="n"/>
      <c r="G25" s="13" t="n"/>
      <c r="H25" s="12" t="n"/>
      <c r="I25" s="13" t="n"/>
      <c r="J25" s="13" t="n"/>
      <c r="K25" s="13" t="n"/>
      <c r="L25" s="13" t="n"/>
      <c r="M25" s="14">
        <f>IF(D25="","",ROUND(D25/設定!$B$3+MAX(F25,I25)/設定!$B$4+L25,1))</f>
        <v/>
      </c>
      <c r="N25" s="14">
        <f>IF(M25="","",IF(M25&gt;=設定!$B$7,"A",IF(M25&gt;=設定!$B$6,"B","C")))</f>
        <v/>
      </c>
      <c r="O25" s="14">
        <f>IF(D25="","",IF(OR(D25&lt;設定!$B$14,D25&gt;設定!$B$15),"HPを確認",IF(OR(F25&gt;IF(G25=1,設定!$B$16,IF(G25=2,設定!$B$17,設定!$B$18)),I25&gt;IF(J25=1,設定!$B$16,IF(J25=2,設定!$B$17,設定!$B$18))),"ダメージを確認","OK")))</f>
        <v/>
      </c>
    </row>
    <row r="26">
      <c r="A26" s="11" t="n">
        <v>25</v>
      </c>
      <c r="B26" s="12" t="n"/>
      <c r="C26" s="13" t="n"/>
      <c r="D26" s="13" t="n"/>
      <c r="E26" s="12" t="n"/>
      <c r="F26" s="13" t="n"/>
      <c r="G26" s="13" t="n"/>
      <c r="H26" s="12" t="n"/>
      <c r="I26" s="13" t="n"/>
      <c r="J26" s="13" t="n"/>
      <c r="K26" s="13" t="n"/>
      <c r="L26" s="13" t="n"/>
      <c r="M26" s="14">
        <f>IF(D26="","",ROUND(D26/設定!$B$3+MAX(F26,I26)/設定!$B$4+L26,1))</f>
        <v/>
      </c>
      <c r="N26" s="14">
        <f>IF(M26="","",IF(M26&gt;=設定!$B$7,"A",IF(M26&gt;=設定!$B$6,"B","C")))</f>
        <v/>
      </c>
      <c r="O26" s="14">
        <f>IF(D26="","",IF(OR(D26&lt;設定!$B$14,D26&gt;設定!$B$15),"HPを確認",IF(OR(F26&gt;IF(G26=1,設定!$B$16,IF(G26=2,設定!$B$17,設定!$B$18)),I26&gt;IF(J26=1,設定!$B$16,IF(J26=2,設定!$B$17,設定!$B$18))),"ダメージを確認","OK")))</f>
        <v/>
      </c>
    </row>
    <row r="27">
      <c r="A27" s="11" t="n">
        <v>26</v>
      </c>
      <c r="B27" s="12" t="n"/>
      <c r="C27" s="13" t="n"/>
      <c r="D27" s="13" t="n"/>
      <c r="E27" s="12" t="n"/>
      <c r="F27" s="13" t="n"/>
      <c r="G27" s="13" t="n"/>
      <c r="H27" s="12" t="n"/>
      <c r="I27" s="13" t="n"/>
      <c r="J27" s="13" t="n"/>
      <c r="K27" s="13" t="n"/>
      <c r="L27" s="13" t="n"/>
      <c r="M27" s="14">
        <f>IF(D27="","",ROUND(D27/設定!$B$3+MAX(F27,I27)/設定!$B$4+L27,1))</f>
        <v/>
      </c>
      <c r="N27" s="14">
        <f>IF(M27="","",IF(M27&gt;=設定!$B$7,"A",IF(M27&gt;=設定!$B$6,"B","C")))</f>
        <v/>
      </c>
      <c r="O27" s="14">
        <f>IF(D27="","",IF(OR(D27&lt;設定!$B$14,D27&gt;設定!$B$15),"HPを確認",IF(OR(F27&gt;IF(G27=1,設定!$B$16,IF(G27=2,設定!$B$17,設定!$B$18)),I27&gt;IF(J27=1,設定!$B$16,IF(J27=2,設定!$B$17,設定!$B$18))),"ダメージを確認","OK")))</f>
        <v/>
      </c>
    </row>
    <row r="28">
      <c r="A28" s="11" t="n">
        <v>27</v>
      </c>
      <c r="B28" s="12" t="n"/>
      <c r="C28" s="13" t="n"/>
      <c r="D28" s="13" t="n"/>
      <c r="E28" s="12" t="n"/>
      <c r="F28" s="13" t="n"/>
      <c r="G28" s="13" t="n"/>
      <c r="H28" s="12" t="n"/>
      <c r="I28" s="13" t="n"/>
      <c r="J28" s="13" t="n"/>
      <c r="K28" s="13" t="n"/>
      <c r="L28" s="13" t="n"/>
      <c r="M28" s="14">
        <f>IF(D28="","",ROUND(D28/設定!$B$3+MAX(F28,I28)/設定!$B$4+L28,1))</f>
        <v/>
      </c>
      <c r="N28" s="14">
        <f>IF(M28="","",IF(M28&gt;=設定!$B$7,"A",IF(M28&gt;=設定!$B$6,"B","C")))</f>
        <v/>
      </c>
      <c r="O28" s="14">
        <f>IF(D28="","",IF(OR(D28&lt;設定!$B$14,D28&gt;設定!$B$15),"HPを確認",IF(OR(F28&gt;IF(G28=1,設定!$B$16,IF(G28=2,設定!$B$17,設定!$B$18)),I28&gt;IF(J28=1,設定!$B$16,IF(J28=2,設定!$B$17,設定!$B$18))),"ダメージを確認","OK")))</f>
        <v/>
      </c>
    </row>
    <row r="29">
      <c r="A29" s="11" t="n">
        <v>28</v>
      </c>
      <c r="B29" s="12" t="n"/>
      <c r="C29" s="13" t="n"/>
      <c r="D29" s="13" t="n"/>
      <c r="E29" s="12" t="n"/>
      <c r="F29" s="13" t="n"/>
      <c r="G29" s="13" t="n"/>
      <c r="H29" s="12" t="n"/>
      <c r="I29" s="13" t="n"/>
      <c r="J29" s="13" t="n"/>
      <c r="K29" s="13" t="n"/>
      <c r="L29" s="13" t="n"/>
      <c r="M29" s="14">
        <f>IF(D29="","",ROUND(D29/設定!$B$3+MAX(F29,I29)/設定!$B$4+L29,1))</f>
        <v/>
      </c>
      <c r="N29" s="14">
        <f>IF(M29="","",IF(M29&gt;=設定!$B$7,"A",IF(M29&gt;=設定!$B$6,"B","C")))</f>
        <v/>
      </c>
      <c r="O29" s="14">
        <f>IF(D29="","",IF(OR(D29&lt;設定!$B$14,D29&gt;設定!$B$15),"HPを確認",IF(OR(F29&gt;IF(G29=1,設定!$B$16,IF(G29=2,設定!$B$17,設定!$B$18)),I29&gt;IF(J29=1,設定!$B$16,IF(J29=2,設定!$B$17,設定!$B$18))),"ダメージを確認","OK")))</f>
        <v/>
      </c>
    </row>
    <row r="30">
      <c r="A30" s="11" t="n">
        <v>29</v>
      </c>
      <c r="B30" s="12" t="n"/>
      <c r="C30" s="13" t="n"/>
      <c r="D30" s="13" t="n"/>
      <c r="E30" s="12" t="n"/>
      <c r="F30" s="13" t="n"/>
      <c r="G30" s="13" t="n"/>
      <c r="H30" s="12" t="n"/>
      <c r="I30" s="13" t="n"/>
      <c r="J30" s="13" t="n"/>
      <c r="K30" s="13" t="n"/>
      <c r="L30" s="13" t="n"/>
      <c r="M30" s="14">
        <f>IF(D30="","",ROUND(D30/設定!$B$3+MAX(F30,I30)/設定!$B$4+L30,1))</f>
        <v/>
      </c>
      <c r="N30" s="14">
        <f>IF(M30="","",IF(M30&gt;=設定!$B$7,"A",IF(M30&gt;=設定!$B$6,"B","C")))</f>
        <v/>
      </c>
      <c r="O30" s="14">
        <f>IF(D30="","",IF(OR(D30&lt;設定!$B$14,D30&gt;設定!$B$15),"HPを確認",IF(OR(F30&gt;IF(G30=1,設定!$B$16,IF(G30=2,設定!$B$17,設定!$B$18)),I30&gt;IF(J30=1,設定!$B$16,IF(J30=2,設定!$B$17,設定!$B$18))),"ダメージを確認","OK")))</f>
        <v/>
      </c>
    </row>
    <row r="31">
      <c r="A31" s="11" t="n">
        <v>30</v>
      </c>
      <c r="B31" s="12" t="n"/>
      <c r="C31" s="13" t="n"/>
      <c r="D31" s="13" t="n"/>
      <c r="E31" s="12" t="n"/>
      <c r="F31" s="13" t="n"/>
      <c r="G31" s="13" t="n"/>
      <c r="H31" s="12" t="n"/>
      <c r="I31" s="13" t="n"/>
      <c r="J31" s="13" t="n"/>
      <c r="K31" s="13" t="n"/>
      <c r="L31" s="13" t="n"/>
      <c r="M31" s="14">
        <f>IF(D31="","",ROUND(D31/設定!$B$3+MAX(F31,I31)/設定!$B$4+L31,1))</f>
        <v/>
      </c>
      <c r="N31" s="14">
        <f>IF(M31="","",IF(M31&gt;=設定!$B$7,"A",IF(M31&gt;=設定!$B$6,"B","C")))</f>
        <v/>
      </c>
      <c r="O31" s="14">
        <f>IF(D31="","",IF(OR(D31&lt;設定!$B$14,D31&gt;設定!$B$15),"HPを確認",IF(OR(F31&gt;IF(G31=1,設定!$B$16,IF(G31=2,設定!$B$17,設定!$B$18)),I31&gt;IF(J31=1,設定!$B$16,IF(J31=2,設定!$B$17,設定!$B$18))),"ダメージを確認","OK")))</f>
        <v/>
      </c>
    </row>
    <row r="32">
      <c r="A32" s="11" t="n">
        <v>31</v>
      </c>
      <c r="B32" s="12" t="n"/>
      <c r="C32" s="13" t="n"/>
      <c r="D32" s="13" t="n"/>
      <c r="E32" s="12" t="n"/>
      <c r="F32" s="13" t="n"/>
      <c r="G32" s="13" t="n"/>
      <c r="H32" s="12" t="n"/>
      <c r="I32" s="13" t="n"/>
      <c r="J32" s="13" t="n"/>
      <c r="K32" s="13" t="n"/>
      <c r="L32" s="13" t="n"/>
      <c r="M32" s="14">
        <f>IF(D32="","",ROUND(D32/設定!$B$3+MAX(F32,I32)/設定!$B$4+L32,1))</f>
        <v/>
      </c>
      <c r="N32" s="14">
        <f>IF(M32="","",IF(M32&gt;=設定!$B$7,"A",IF(M32&gt;=設定!$B$6,"B","C")))</f>
        <v/>
      </c>
      <c r="O32" s="14">
        <f>IF(D32="","",IF(OR(D32&lt;設定!$B$14,D32&gt;設定!$B$15),"HPを確認",IF(OR(F32&gt;IF(G32=1,設定!$B$16,IF(G32=2,設定!$B$17,設定!$B$18)),I32&gt;IF(J32=1,設定!$B$16,IF(J32=2,設定!$B$17,設定!$B$18))),"ダメージを確認","OK")))</f>
        <v/>
      </c>
    </row>
    <row r="33">
      <c r="A33" s="11" t="n">
        <v>32</v>
      </c>
      <c r="B33" s="12" t="n"/>
      <c r="C33" s="13" t="n"/>
      <c r="D33" s="13" t="n"/>
      <c r="E33" s="12" t="n"/>
      <c r="F33" s="13" t="n"/>
      <c r="G33" s="13" t="n"/>
      <c r="H33" s="12" t="n"/>
      <c r="I33" s="13" t="n"/>
      <c r="J33" s="13" t="n"/>
      <c r="K33" s="13" t="n"/>
      <c r="L33" s="13" t="n"/>
      <c r="M33" s="14">
        <f>IF(D33="","",ROUND(D33/設定!$B$3+MAX(F33,I33)/設定!$B$4+L33,1))</f>
        <v/>
      </c>
      <c r="N33" s="14">
        <f>IF(M33="","",IF(M33&gt;=設定!$B$7,"A",IF(M33&gt;=設定!$B$6,"B","C")))</f>
        <v/>
      </c>
      <c r="O33" s="14">
        <f>IF(D33="","",IF(OR(D33&lt;設定!$B$14,D33&gt;設定!$B$15),"HPを確認",IF(OR(F33&gt;IF(G33=1,設定!$B$16,IF(G33=2,設定!$B$17,設定!$B$18)),I33&gt;IF(J33=1,設定!$B$16,IF(J33=2,設定!$B$17,設定!$B$18))),"ダメージを確認","OK")))</f>
        <v/>
      </c>
    </row>
    <row r="34">
      <c r="A34" s="11" t="n">
        <v>33</v>
      </c>
      <c r="B34" s="12" t="n"/>
      <c r="C34" s="13" t="n"/>
      <c r="D34" s="13" t="n"/>
      <c r="E34" s="12" t="n"/>
      <c r="F34" s="13" t="n"/>
      <c r="G34" s="13" t="n"/>
      <c r="H34" s="12" t="n"/>
      <c r="I34" s="13" t="n"/>
      <c r="J34" s="13" t="n"/>
      <c r="K34" s="13" t="n"/>
      <c r="L34" s="13" t="n"/>
      <c r="M34" s="14">
        <f>IF(D34="","",ROUND(D34/設定!$B$3+MAX(F34,I34)/設定!$B$4+L34,1))</f>
        <v/>
      </c>
      <c r="N34" s="14">
        <f>IF(M34="","",IF(M34&gt;=設定!$B$7,"A",IF(M34&gt;=設定!$B$6,"B","C")))</f>
        <v/>
      </c>
      <c r="O34" s="14">
        <f>IF(D34="","",IF(OR(D34&lt;設定!$B$14,D34&gt;設定!$B$15),"HPを確認",IF(OR(F34&gt;IF(G34=1,設定!$B$16,IF(G34=2,設定!$B$17,設定!$B$18)),I34&gt;IF(J34=1,設定!$B$16,IF(J34=2,設定!$B$17,設定!$B$18))),"ダメージを確認","OK")))</f>
        <v/>
      </c>
    </row>
    <row r="35">
      <c r="A35" s="11" t="n">
        <v>34</v>
      </c>
      <c r="B35" s="12" t="n"/>
      <c r="C35" s="13" t="n"/>
      <c r="D35" s="13" t="n"/>
      <c r="E35" s="12" t="n"/>
      <c r="F35" s="13" t="n"/>
      <c r="G35" s="13" t="n"/>
      <c r="H35" s="12" t="n"/>
      <c r="I35" s="13" t="n"/>
      <c r="J35" s="13" t="n"/>
      <c r="K35" s="13" t="n"/>
      <c r="L35" s="13" t="n"/>
      <c r="M35" s="14">
        <f>IF(D35="","",ROUND(D35/設定!$B$3+MAX(F35,I35)/設定!$B$4+L35,1))</f>
        <v/>
      </c>
      <c r="N35" s="14">
        <f>IF(M35="","",IF(M35&gt;=設定!$B$7,"A",IF(M35&gt;=設定!$B$6,"B","C")))</f>
        <v/>
      </c>
      <c r="O35" s="14">
        <f>IF(D35="","",IF(OR(D35&lt;設定!$B$14,D35&gt;設定!$B$15),"HPを確認",IF(OR(F35&gt;IF(G35=1,設定!$B$16,IF(G35=2,設定!$B$17,設定!$B$18)),I35&gt;IF(J35=1,設定!$B$16,IF(J35=2,設定!$B$17,設定!$B$18))),"ダメージを確認","OK")))</f>
        <v/>
      </c>
    </row>
    <row r="36">
      <c r="A36" s="11" t="n">
        <v>35</v>
      </c>
      <c r="B36" s="12" t="n"/>
      <c r="C36" s="13" t="n"/>
      <c r="D36" s="13" t="n"/>
      <c r="E36" s="12" t="n"/>
      <c r="F36" s="13" t="n"/>
      <c r="G36" s="13" t="n"/>
      <c r="H36" s="12" t="n"/>
      <c r="I36" s="13" t="n"/>
      <c r="J36" s="13" t="n"/>
      <c r="K36" s="13" t="n"/>
      <c r="L36" s="13" t="n"/>
      <c r="M36" s="14">
        <f>IF(D36="","",ROUND(D36/設定!$B$3+MAX(F36,I36)/設定!$B$4+L36,1))</f>
        <v/>
      </c>
      <c r="N36" s="14">
        <f>IF(M36="","",IF(M36&gt;=設定!$B$7,"A",IF(M36&gt;=設定!$B$6,"B","C")))</f>
        <v/>
      </c>
      <c r="O36" s="14">
        <f>IF(D36="","",IF(OR(D36&lt;設定!$B$14,D36&gt;設定!$B$15),"HPを確認",IF(OR(F36&gt;IF(G36=1,設定!$B$16,IF(G36=2,設定!$B$17,設定!$B$18)),I36&gt;IF(J36=1,設定!$B$16,IF(J36=2,設定!$B$17,設定!$B$18))),"ダメージを確認","OK")))</f>
        <v/>
      </c>
    </row>
    <row r="37">
      <c r="A37" s="11" t="n">
        <v>36</v>
      </c>
      <c r="B37" s="12" t="n"/>
      <c r="C37" s="13" t="n"/>
      <c r="D37" s="13" t="n"/>
      <c r="E37" s="12" t="n"/>
      <c r="F37" s="13" t="n"/>
      <c r="G37" s="13" t="n"/>
      <c r="H37" s="12" t="n"/>
      <c r="I37" s="13" t="n"/>
      <c r="J37" s="13" t="n"/>
      <c r="K37" s="13" t="n"/>
      <c r="L37" s="13" t="n"/>
      <c r="M37" s="14">
        <f>IF(D37="","",ROUND(D37/設定!$B$3+MAX(F37,I37)/設定!$B$4+L37,1))</f>
        <v/>
      </c>
      <c r="N37" s="14">
        <f>IF(M37="","",IF(M37&gt;=設定!$B$7,"A",IF(M37&gt;=設定!$B$6,"B","C")))</f>
        <v/>
      </c>
      <c r="O37" s="14">
        <f>IF(D37="","",IF(OR(D37&lt;設定!$B$14,D37&gt;設定!$B$15),"HPを確認",IF(OR(F37&gt;IF(G37=1,設定!$B$16,IF(G37=2,設定!$B$17,設定!$B$18)),I37&gt;IF(J37=1,設定!$B$16,IF(J37=2,設定!$B$17,設定!$B$18))),"ダメージを確認","OK")))</f>
        <v/>
      </c>
    </row>
    <row r="38">
      <c r="A38" s="11" t="n">
        <v>37</v>
      </c>
      <c r="B38" s="12" t="n"/>
      <c r="C38" s="13" t="n"/>
      <c r="D38" s="13" t="n"/>
      <c r="E38" s="12" t="n"/>
      <c r="F38" s="13" t="n"/>
      <c r="G38" s="13" t="n"/>
      <c r="H38" s="12" t="n"/>
      <c r="I38" s="13" t="n"/>
      <c r="J38" s="13" t="n"/>
      <c r="K38" s="13" t="n"/>
      <c r="L38" s="13" t="n"/>
      <c r="M38" s="14">
        <f>IF(D38="","",ROUND(D38/設定!$B$3+MAX(F38,I38)/設定!$B$4+L38,1))</f>
        <v/>
      </c>
      <c r="N38" s="14">
        <f>IF(M38="","",IF(M38&gt;=設定!$B$7,"A",IF(M38&gt;=設定!$B$6,"B","C")))</f>
        <v/>
      </c>
      <c r="O38" s="14">
        <f>IF(D38="","",IF(OR(D38&lt;設定!$B$14,D38&gt;設定!$B$15),"HPを確認",IF(OR(F38&gt;IF(G38=1,設定!$B$16,IF(G38=2,設定!$B$17,設定!$B$18)),I38&gt;IF(J38=1,設定!$B$16,IF(J38=2,設定!$B$17,設定!$B$18))),"ダメージを確認","OK")))</f>
        <v/>
      </c>
    </row>
    <row r="39">
      <c r="A39" s="11" t="n">
        <v>38</v>
      </c>
      <c r="B39" s="12" t="n"/>
      <c r="C39" s="13" t="n"/>
      <c r="D39" s="13" t="n"/>
      <c r="E39" s="12" t="n"/>
      <c r="F39" s="13" t="n"/>
      <c r="G39" s="13" t="n"/>
      <c r="H39" s="12" t="n"/>
      <c r="I39" s="13" t="n"/>
      <c r="J39" s="13" t="n"/>
      <c r="K39" s="13" t="n"/>
      <c r="L39" s="13" t="n"/>
      <c r="M39" s="14">
        <f>IF(D39="","",ROUND(D39/設定!$B$3+MAX(F39,I39)/設定!$B$4+L39,1))</f>
        <v/>
      </c>
      <c r="N39" s="14">
        <f>IF(M39="","",IF(M39&gt;=設定!$B$7,"A",IF(M39&gt;=設定!$B$6,"B","C")))</f>
        <v/>
      </c>
      <c r="O39" s="14">
        <f>IF(D39="","",IF(OR(D39&lt;設定!$B$14,D39&gt;設定!$B$15),"HPを確認",IF(OR(F39&gt;IF(G39=1,設定!$B$16,IF(G39=2,設定!$B$17,設定!$B$18)),I39&gt;IF(J39=1,設定!$B$16,IF(J39=2,設定!$B$17,設定!$B$18))),"ダメージを確認","OK")))</f>
        <v/>
      </c>
    </row>
    <row r="40">
      <c r="A40" s="11" t="n">
        <v>39</v>
      </c>
      <c r="B40" s="12" t="n"/>
      <c r="C40" s="13" t="n"/>
      <c r="D40" s="13" t="n"/>
      <c r="E40" s="12" t="n"/>
      <c r="F40" s="13" t="n"/>
      <c r="G40" s="13" t="n"/>
      <c r="H40" s="12" t="n"/>
      <c r="I40" s="13" t="n"/>
      <c r="J40" s="13" t="n"/>
      <c r="K40" s="13" t="n"/>
      <c r="L40" s="13" t="n"/>
      <c r="M40" s="14">
        <f>IF(D40="","",ROUND(D40/設定!$B$3+MAX(F40,I40)/設定!$B$4+L40,1))</f>
        <v/>
      </c>
      <c r="N40" s="14">
        <f>IF(M40="","",IF(M40&gt;=設定!$B$7,"A",IF(M40&gt;=設定!$B$6,"B","C")))</f>
        <v/>
      </c>
      <c r="O40" s="14">
        <f>IF(D40="","",IF(OR(D40&lt;設定!$B$14,D40&gt;設定!$B$15),"HPを確認",IF(OR(F40&gt;IF(G40=1,設定!$B$16,IF(G40=2,設定!$B$17,設定!$B$18)),I40&gt;IF(J40=1,設定!$B$16,IF(J40=2,設定!$B$17,設定!$B$18))),"ダメージを確認","OK")))</f>
        <v/>
      </c>
    </row>
    <row r="41">
      <c r="A41" s="11" t="n">
        <v>40</v>
      </c>
      <c r="B41" s="12" t="n"/>
      <c r="C41" s="13" t="n"/>
      <c r="D41" s="13" t="n"/>
      <c r="E41" s="12" t="n"/>
      <c r="F41" s="13" t="n"/>
      <c r="G41" s="13" t="n"/>
      <c r="H41" s="12" t="n"/>
      <c r="I41" s="13" t="n"/>
      <c r="J41" s="13" t="n"/>
      <c r="K41" s="13" t="n"/>
      <c r="L41" s="13" t="n"/>
      <c r="M41" s="14">
        <f>IF(D41="","",ROUND(D41/設定!$B$3+MAX(F41,I41)/設定!$B$4+L41,1))</f>
        <v/>
      </c>
      <c r="N41" s="14">
        <f>IF(M41="","",IF(M41&gt;=設定!$B$7,"A",IF(M41&gt;=設定!$B$6,"B","C")))</f>
        <v/>
      </c>
      <c r="O41" s="14">
        <f>IF(D41="","",IF(OR(D41&lt;設定!$B$14,D41&gt;設定!$B$15),"HPを確認",IF(OR(F41&gt;IF(G41=1,設定!$B$16,IF(G41=2,設定!$B$17,設定!$B$18)),I41&gt;IF(J41=1,設定!$B$16,IF(J41=2,設定!$B$17,設定!$B$18))),"ダメージを確認","OK")))</f>
        <v/>
      </c>
    </row>
  </sheetData>
  <conditionalFormatting sqref="N2:N41">
    <cfRule type="cellIs" priority="1" operator="equal" dxfId="0">
      <formula>"A"</formula>
    </cfRule>
    <cfRule type="cellIs" priority="2" operator="equal" dxfId="1">
      <formula>"B"</formula>
    </cfRule>
    <cfRule type="cellIs" priority="3" operator="equal" dxfId="2">
      <formula>"C"</formula>
    </cfRule>
  </conditionalFormatting>
  <conditionalFormatting sqref="O2:O41">
    <cfRule type="expression" priority="4" dxfId="3">
      <formula>AND(O2&lt;&gt;"",O2&lt;&gt;"OK")</formula>
    </cfRule>
  </conditionalFormatting>
  <dataValidations count="2">
    <dataValidation sqref="C2:C41" showDropDown="0" showInputMessage="0" showErrorMessage="0" allowBlank="1" type="list">
      <formula1>"ほのお,みず,くさ,その他"</formula1>
    </dataValidation>
    <dataValidation sqref="L2:L41" showDropDown="0" showInputMessage="0" showErrorMessage="0" allowBlank="1" type="whole" operator="between">
      <formula1>0</formula1>
      <formula2>3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10" customWidth="1" min="12" max="12"/>
    <col width="34" customWidth="1" min="13" max="13"/>
  </cols>
  <sheetData>
    <row r="1" ht="40" customHeight="1">
      <c r="A1" s="5" t="inlineStr">
        <is>
          <t>子どもの
なまえ</t>
        </is>
      </c>
      <c r="B1" s="5" t="inlineStr">
        <is>
          <t>カード1
のNo.</t>
        </is>
      </c>
      <c r="C1" s="5" t="inlineStr">
        <is>
          <t>カード2
のNo.</t>
        </is>
      </c>
      <c r="D1" s="5" t="inlineStr">
        <is>
          <t>カード3
のNo.</t>
        </is>
      </c>
      <c r="E1" s="5" t="inlineStr">
        <is>
          <t>カード4
のNo.</t>
        </is>
      </c>
      <c r="F1" s="5" t="inlineStr">
        <is>
          <t>カード5
のNo.</t>
        </is>
      </c>
      <c r="G1" s="5" t="inlineStr">
        <is>
          <t>カード6
のNo.</t>
        </is>
      </c>
      <c r="H1" s="5" t="inlineStr">
        <is>
          <t>カード7
のNo.</t>
        </is>
      </c>
      <c r="I1" s="5" t="inlineStr">
        <is>
          <t>カード8
のNo.</t>
        </is>
      </c>
      <c r="J1" s="5" t="inlineStr">
        <is>
          <t>Aランク
の枚数</t>
        </is>
      </c>
      <c r="K1" s="5" t="inlineStr">
        <is>
          <t>Bランク
の枚数</t>
        </is>
      </c>
      <c r="L1" s="5" t="inlineStr">
        <is>
          <t>Cランク
の枚数</t>
        </is>
      </c>
      <c r="M1" s="5" t="inlineStr">
        <is>
          <t>はんてい</t>
        </is>
      </c>
    </row>
    <row r="2">
      <c r="A2" s="15" t="inlineStr">
        <is>
          <t>（れい）</t>
        </is>
      </c>
      <c r="B2" s="15" t="n">
        <v>1</v>
      </c>
      <c r="C2" s="15" t="n">
        <v>3</v>
      </c>
      <c r="D2" s="15" t="n">
        <v>4</v>
      </c>
      <c r="E2" s="15" t="n">
        <v>5</v>
      </c>
      <c r="F2" s="15" t="n">
        <v>6</v>
      </c>
      <c r="G2" s="15" t="n">
        <v>7</v>
      </c>
      <c r="H2" s="15" t="n">
        <v>8</v>
      </c>
      <c r="I2" s="15" t="n">
        <v>9</v>
      </c>
      <c r="J2" s="16">
        <f>SUMPRODUCT(COUNTIF($B2:$I2,カード一覧!$A$2:$A$41)*(カード一覧!$N$2:$N$41="A"))</f>
        <v/>
      </c>
      <c r="K2" s="16">
        <f>SUMPRODUCT(COUNTIF($B2:$I2,カード一覧!$A$2:$A$41)*(カード一覧!$N$2:$N$41="B"))</f>
        <v/>
      </c>
      <c r="L2" s="16">
        <f>SUMPRODUCT(COUNTIF($B2:$I2,カード一覧!$A$2:$A$41)*(カード一覧!$N$2:$N$41="C"))</f>
        <v/>
      </c>
      <c r="M2" s="16">
        <f>IF(COUNTA(B2:I2)=0,"",IF(COUNTA(B2:I2)&lt;設定!$B$9,"カードが足りません（"&amp;COUNTA(B2:I2)&amp;"枚）",IF(COUNTA(B2:I2)&gt;設定!$B$9,"カードが多すぎます",IF(J2&gt;設定!$B$10,"Aランクが多すぎます",IF(K2&gt;設定!$B$11,"Bランクが多すぎます",IF(L2&gt;設定!$B$12,"Cランクが多すぎます","OK"))))))</f>
        <v/>
      </c>
    </row>
    <row r="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6">
        <f>SUMPRODUCT(COUNTIF($B3:$I3,カード一覧!$A$2:$A$41)*(カード一覧!$N$2:$N$41="A"))</f>
        <v/>
      </c>
      <c r="K3" s="16">
        <f>SUMPRODUCT(COUNTIF($B3:$I3,カード一覧!$A$2:$A$41)*(カード一覧!$N$2:$N$41="B"))</f>
        <v/>
      </c>
      <c r="L3" s="16">
        <f>SUMPRODUCT(COUNTIF($B3:$I3,カード一覧!$A$2:$A$41)*(カード一覧!$N$2:$N$41="C"))</f>
        <v/>
      </c>
      <c r="M3" s="16">
        <f>IF(COUNTA(B3:I3)=0,"",IF(COUNTA(B3:I3)&lt;設定!$B$9,"カードが足りません（"&amp;COUNTA(B3:I3)&amp;"枚）",IF(COUNTA(B3:I3)&gt;設定!$B$9,"カードが多すぎます",IF(J3&gt;設定!$B$10,"Aランクが多すぎます",IF(K3&gt;設定!$B$11,"Bランクが多すぎます",IF(L3&gt;設定!$B$12,"Cランクが多すぎます","OK"))))))</f>
        <v/>
      </c>
    </row>
    <row r="4">
      <c r="A4" s="15" t="n"/>
      <c r="B4" s="15" t="n"/>
      <c r="C4" s="15" t="n"/>
      <c r="D4" s="15" t="n"/>
      <c r="E4" s="15" t="n"/>
      <c r="F4" s="15" t="n"/>
      <c r="G4" s="15" t="n"/>
      <c r="H4" s="15" t="n"/>
      <c r="I4" s="15" t="n"/>
      <c r="J4" s="16">
        <f>SUMPRODUCT(COUNTIF($B4:$I4,カード一覧!$A$2:$A$41)*(カード一覧!$N$2:$N$41="A"))</f>
        <v/>
      </c>
      <c r="K4" s="16">
        <f>SUMPRODUCT(COUNTIF($B4:$I4,カード一覧!$A$2:$A$41)*(カード一覧!$N$2:$N$41="B"))</f>
        <v/>
      </c>
      <c r="L4" s="16">
        <f>SUMPRODUCT(COUNTIF($B4:$I4,カード一覧!$A$2:$A$41)*(カード一覧!$N$2:$N$41="C"))</f>
        <v/>
      </c>
      <c r="M4" s="16">
        <f>IF(COUNTA(B4:I4)=0,"",IF(COUNTA(B4:I4)&lt;設定!$B$9,"カードが足りません（"&amp;COUNTA(B4:I4)&amp;"枚）",IF(COUNTA(B4:I4)&gt;設定!$B$9,"カードが多すぎます",IF(J4&gt;設定!$B$10,"Aランクが多すぎます",IF(K4&gt;設定!$B$11,"Bランクが多すぎます",IF(L4&gt;設定!$B$12,"Cランクが多すぎます","OK"))))))</f>
        <v/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6">
        <f>SUMPRODUCT(COUNTIF($B5:$I5,カード一覧!$A$2:$A$41)*(カード一覧!$N$2:$N$41="A"))</f>
        <v/>
      </c>
      <c r="K5" s="16">
        <f>SUMPRODUCT(COUNTIF($B5:$I5,カード一覧!$A$2:$A$41)*(カード一覧!$N$2:$N$41="B"))</f>
        <v/>
      </c>
      <c r="L5" s="16">
        <f>SUMPRODUCT(COUNTIF($B5:$I5,カード一覧!$A$2:$A$41)*(カード一覧!$N$2:$N$41="C"))</f>
        <v/>
      </c>
      <c r="M5" s="16">
        <f>IF(COUNTA(B5:I5)=0,"",IF(COUNTA(B5:I5)&lt;設定!$B$9,"カードが足りません（"&amp;COUNTA(B5:I5)&amp;"枚）",IF(COUNTA(B5:I5)&gt;設定!$B$9,"カードが多すぎます",IF(J5&gt;設定!$B$10,"Aランクが多すぎます",IF(K5&gt;設定!$B$11,"Bランクが多すぎます",IF(L5&gt;設定!$B$12,"Cランクが多すぎます","OK"))))))</f>
        <v/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6">
        <f>SUMPRODUCT(COUNTIF($B6:$I6,カード一覧!$A$2:$A$41)*(カード一覧!$N$2:$N$41="A"))</f>
        <v/>
      </c>
      <c r="K6" s="16">
        <f>SUMPRODUCT(COUNTIF($B6:$I6,カード一覧!$A$2:$A$41)*(カード一覧!$N$2:$N$41="B"))</f>
        <v/>
      </c>
      <c r="L6" s="16">
        <f>SUMPRODUCT(COUNTIF($B6:$I6,カード一覧!$A$2:$A$41)*(カード一覧!$N$2:$N$41="C"))</f>
        <v/>
      </c>
      <c r="M6" s="16">
        <f>IF(COUNTA(B6:I6)=0,"",IF(COUNTA(B6:I6)&lt;設定!$B$9,"カードが足りません（"&amp;COUNTA(B6:I6)&amp;"枚）",IF(COUNTA(B6:I6)&gt;設定!$B$9,"カードが多すぎます",IF(J6&gt;設定!$B$10,"Aランクが多すぎます",IF(K6&gt;設定!$B$11,"Bランクが多すぎます",IF(L6&gt;設定!$B$12,"Cランクが多すぎます","OK"))))))</f>
        <v/>
      </c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6">
        <f>SUMPRODUCT(COUNTIF($B7:$I7,カード一覧!$A$2:$A$41)*(カード一覧!$N$2:$N$41="A"))</f>
        <v/>
      </c>
      <c r="K7" s="16">
        <f>SUMPRODUCT(COUNTIF($B7:$I7,カード一覧!$A$2:$A$41)*(カード一覧!$N$2:$N$41="B"))</f>
        <v/>
      </c>
      <c r="L7" s="16">
        <f>SUMPRODUCT(COUNTIF($B7:$I7,カード一覧!$A$2:$A$41)*(カード一覧!$N$2:$N$41="C"))</f>
        <v/>
      </c>
      <c r="M7" s="16">
        <f>IF(COUNTA(B7:I7)=0,"",IF(COUNTA(B7:I7)&lt;設定!$B$9,"カードが足りません（"&amp;COUNTA(B7:I7)&amp;"枚）",IF(COUNTA(B7:I7)&gt;設定!$B$9,"カードが多すぎます",IF(J7&gt;設定!$B$10,"Aランクが多すぎます",IF(K7&gt;設定!$B$11,"Bランクが多すぎます",IF(L7&gt;設定!$B$12,"Cランクが多すぎます","OK"))))))</f>
        <v/>
      </c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6">
        <f>SUMPRODUCT(COUNTIF($B8:$I8,カード一覧!$A$2:$A$41)*(カード一覧!$N$2:$N$41="A"))</f>
        <v/>
      </c>
      <c r="K8" s="16">
        <f>SUMPRODUCT(COUNTIF($B8:$I8,カード一覧!$A$2:$A$41)*(カード一覧!$N$2:$N$41="B"))</f>
        <v/>
      </c>
      <c r="L8" s="16">
        <f>SUMPRODUCT(COUNTIF($B8:$I8,カード一覧!$A$2:$A$41)*(カード一覧!$N$2:$N$41="C"))</f>
        <v/>
      </c>
      <c r="M8" s="16">
        <f>IF(COUNTA(B8:I8)=0,"",IF(COUNTA(B8:I8)&lt;設定!$B$9,"カードが足りません（"&amp;COUNTA(B8:I8)&amp;"枚）",IF(COUNTA(B8:I8)&gt;設定!$B$9,"カードが多すぎます",IF(J8&gt;設定!$B$10,"Aランクが多すぎます",IF(K8&gt;設定!$B$11,"Bランクが多すぎます",IF(L8&gt;設定!$B$12,"Cランクが多すぎます","OK"))))))</f>
        <v/>
      </c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6">
        <f>SUMPRODUCT(COUNTIF($B9:$I9,カード一覧!$A$2:$A$41)*(カード一覧!$N$2:$N$41="A"))</f>
        <v/>
      </c>
      <c r="K9" s="16">
        <f>SUMPRODUCT(COUNTIF($B9:$I9,カード一覧!$A$2:$A$41)*(カード一覧!$N$2:$N$41="B"))</f>
        <v/>
      </c>
      <c r="L9" s="16">
        <f>SUMPRODUCT(COUNTIF($B9:$I9,カード一覧!$A$2:$A$41)*(カード一覧!$N$2:$N$41="C"))</f>
        <v/>
      </c>
      <c r="M9" s="16">
        <f>IF(COUNTA(B9:I9)=0,"",IF(COUNTA(B9:I9)&lt;設定!$B$9,"カードが足りません（"&amp;COUNTA(B9:I9)&amp;"枚）",IF(COUNTA(B9:I9)&gt;設定!$B$9,"カードが多すぎます",IF(J9&gt;設定!$B$10,"Aランクが多すぎます",IF(K9&gt;設定!$B$11,"Bランクが多すぎます",IF(L9&gt;設定!$B$12,"Cランクが多すぎます","OK"))))))</f>
        <v/>
      </c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6">
        <f>SUMPRODUCT(COUNTIF($B10:$I10,カード一覧!$A$2:$A$41)*(カード一覧!$N$2:$N$41="A"))</f>
        <v/>
      </c>
      <c r="K10" s="16">
        <f>SUMPRODUCT(COUNTIF($B10:$I10,カード一覧!$A$2:$A$41)*(カード一覧!$N$2:$N$41="B"))</f>
        <v/>
      </c>
      <c r="L10" s="16">
        <f>SUMPRODUCT(COUNTIF($B10:$I10,カード一覧!$A$2:$A$41)*(カード一覧!$N$2:$N$41="C"))</f>
        <v/>
      </c>
      <c r="M10" s="16">
        <f>IF(COUNTA(B10:I10)=0,"",IF(COUNTA(B10:I10)&lt;設定!$B$9,"カードが足りません（"&amp;COUNTA(B10:I10)&amp;"枚）",IF(COUNTA(B10:I10)&gt;設定!$B$9,"カードが多すぎます",IF(J10&gt;設定!$B$10,"Aランクが多すぎます",IF(K10&gt;設定!$B$11,"Bランクが多すぎます",IF(L10&gt;設定!$B$12,"Cランクが多すぎます","OK"))))))</f>
        <v/>
      </c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6">
        <f>SUMPRODUCT(COUNTIF($B11:$I11,カード一覧!$A$2:$A$41)*(カード一覧!$N$2:$N$41="A"))</f>
        <v/>
      </c>
      <c r="K11" s="16">
        <f>SUMPRODUCT(COUNTIF($B11:$I11,カード一覧!$A$2:$A$41)*(カード一覧!$N$2:$N$41="B"))</f>
        <v/>
      </c>
      <c r="L11" s="16">
        <f>SUMPRODUCT(COUNTIF($B11:$I11,カード一覧!$A$2:$A$41)*(カード一覧!$N$2:$N$41="C"))</f>
        <v/>
      </c>
      <c r="M11" s="16">
        <f>IF(COUNTA(B11:I11)=0,"",IF(COUNTA(B11:I11)&lt;設定!$B$9,"カードが足りません（"&amp;COUNTA(B11:I11)&amp;"枚）",IF(COUNTA(B11:I11)&gt;設定!$B$9,"カードが多すぎます",IF(J11&gt;設定!$B$10,"Aランクが多すぎます",IF(K11&gt;設定!$B$11,"Bランクが多すぎます",IF(L11&gt;設定!$B$12,"Cランクが多すぎます","OK"))))))</f>
        <v/>
      </c>
    </row>
    <row r="13">
      <c r="A13" s="17" t="inlineStr">
        <is>
          <t>※ ポケモンカード8枚ぶんの「カード一覧」のNo.を入れます。同じカードを2枚入れるときは、同じNo.を2回入れます。</t>
        </is>
      </c>
    </row>
  </sheetData>
  <conditionalFormatting sqref="M2:M11">
    <cfRule type="expression" priority="1" dxfId="3">
      <formula>AND(M2&lt;&gt;"",M2&lt;&gt;"OK")</formula>
    </cfRule>
    <cfRule type="cellIs" priority="2" operator="equal" dxfId="4">
      <formula>"OK"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2026-10-11T01:47:00Z</dcterms:created>
  <dcterms:modified xmlns:dcterms="http://purl.org/dc/terms/" xmlns:xsi="http://www.w3.org/2001/XMLSchema-instance" xsi:type="dcterms:W3CDTF">2026-10-11T01:47:00Z</dcterms:modified>
</cp:coreProperties>
</file>